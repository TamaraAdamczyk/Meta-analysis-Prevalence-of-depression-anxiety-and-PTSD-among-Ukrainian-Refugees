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3c8cba46b1a775/Desktop/R projects/"/>
    </mc:Choice>
  </mc:AlternateContent>
  <xr:revisionPtr revIDLastSave="119" documentId="8_{28FC1305-02D0-489C-9FC5-AD9FA1E5051E}" xr6:coauthVersionLast="47" xr6:coauthVersionMax="47" xr10:uidLastSave="{4DA7EDB9-0841-4E0B-BF2B-8852399393CB}"/>
  <bookViews>
    <workbookView xWindow="11424" yWindow="0" windowWidth="11712" windowHeight="12336" xr2:uid="{EBD2F0AF-6440-427C-A3ED-79201C5747EC}"/>
  </bookViews>
  <sheets>
    <sheet name="Study" sheetId="1" r:id="rId1"/>
    <sheet name="Outco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2" i="2"/>
</calcChain>
</file>

<file path=xl/sharedStrings.xml><?xml version="1.0" encoding="utf-8"?>
<sst xmlns="http://schemas.openxmlformats.org/spreadsheetml/2006/main" count="284" uniqueCount="136">
  <si>
    <t>study_id</t>
  </si>
  <si>
    <t>first_author</t>
  </si>
  <si>
    <t>year</t>
  </si>
  <si>
    <t>title</t>
  </si>
  <si>
    <t>journal</t>
  </si>
  <si>
    <t>country_host</t>
  </si>
  <si>
    <t>study_design</t>
  </si>
  <si>
    <t>sampling_method</t>
  </si>
  <si>
    <t>n_total</t>
  </si>
  <si>
    <t>age_mean</t>
  </si>
  <si>
    <t>age_sd</t>
  </si>
  <si>
    <t>percent_female</t>
  </si>
  <si>
    <t>population_notes</t>
  </si>
  <si>
    <t>time_since_displacement_months</t>
  </si>
  <si>
    <t>refugee_status_definition</t>
  </si>
  <si>
    <t>risk_of_bias_sampling</t>
  </si>
  <si>
    <t>risk_of_bias_measurement</t>
  </si>
  <si>
    <t>risk_of_bias_reporting</t>
  </si>
  <si>
    <t>overall_risk_of_bias</t>
  </si>
  <si>
    <t>notes</t>
  </si>
  <si>
    <t>Adedeji_2025</t>
  </si>
  <si>
    <t>Adedeji</t>
  </si>
  <si>
    <t>Mental Health Outcomes Among Female Ukrainian Refugees in Germany</t>
  </si>
  <si>
    <t>Healthcare (Basel)</t>
  </si>
  <si>
    <t>Germany</t>
  </si>
  <si>
    <t>cross-sectional</t>
  </si>
  <si>
    <t>female refugees</t>
  </si>
  <si>
    <t>refugee</t>
  </si>
  <si>
    <t>Bilewicz_2024</t>
  </si>
  <si>
    <t>Bilewicz</t>
  </si>
  <si>
    <t>High rates of probable PTSD among Ukrainian war refugees</t>
  </si>
  <si>
    <t>Eur J Psychotraumatol</t>
  </si>
  <si>
    <t>Poland</t>
  </si>
  <si>
    <t>adults</t>
  </si>
  <si>
    <t>Brackstone_2024</t>
  </si>
  <si>
    <t>Brackstone</t>
  </si>
  <si>
    <t>Effects of blast exposure on anxiety and PTSD among displaced Ukrainians</t>
  </si>
  <si>
    <t>PLOS Glob Public Health</t>
  </si>
  <si>
    <t>multiple?</t>
  </si>
  <si>
    <t>Buchcik_2023</t>
  </si>
  <si>
    <t>Buchcik</t>
  </si>
  <si>
    <t>Mental health outcomes and quality of life of Ukrainian refugees in Germany</t>
  </si>
  <si>
    <t>Health Qual Life Outcomes</t>
  </si>
  <si>
    <t>Catani_2023</t>
  </si>
  <si>
    <t>Catani</t>
  </si>
  <si>
    <t>School-based mental health screenings with Ukrainian adolescent refugees</t>
  </si>
  <si>
    <t>Front Psychol</t>
  </si>
  <si>
    <t>school-based</t>
  </si>
  <si>
    <t>adolescents</t>
  </si>
  <si>
    <t>Guerrero_2023</t>
  </si>
  <si>
    <t>Guerrero</t>
  </si>
  <si>
    <t>Mental health conditions and help-seeking among Ukrainian war refugees in Czechia</t>
  </si>
  <si>
    <t>Psychiatry Res</t>
  </si>
  <si>
    <t>Czechia</t>
  </si>
  <si>
    <t>Karstoft_2025_SSM</t>
  </si>
  <si>
    <t>Karstoft</t>
  </si>
  <si>
    <t>Associations of war exposures and post-migration difficulties with (complex) PTSD</t>
  </si>
  <si>
    <t>Soc Sci Med</t>
  </si>
  <si>
    <t>Denmark</t>
  </si>
  <si>
    <t>cohort</t>
  </si>
  <si>
    <t>registry</t>
  </si>
  <si>
    <t>Kostiuk_2024</t>
  </si>
  <si>
    <t>Kostiuk</t>
  </si>
  <si>
    <t>Postpartum depression in Ukrainian refugee women who gave birth abroad</t>
  </si>
  <si>
    <t>Cent Eur J Public Health</t>
  </si>
  <si>
    <t>hospital-based</t>
  </si>
  <si>
    <t>postpartum women</t>
  </si>
  <si>
    <t>Kovacs</t>
  </si>
  <si>
    <t>Integrative attitudes and PTSD symptoms among Ukrainian war refugees</t>
  </si>
  <si>
    <t>Front Public Health</t>
  </si>
  <si>
    <t>Mazhak_2024</t>
  </si>
  <si>
    <t>Mazhak</t>
  </si>
  <si>
    <t>Psychometric assessment of the Beck Anxiety Inventory among Ukrainian female refugees</t>
  </si>
  <si>
    <t>Yasenok_2025</t>
  </si>
  <si>
    <t>Yasenok</t>
  </si>
  <si>
    <t>Mental health burden of Ukrainians displaced to Switzerland</t>
  </si>
  <si>
    <t>BMJ Glob Health</t>
  </si>
  <si>
    <t>Switzerland</t>
  </si>
  <si>
    <t>refugee subgroup only</t>
  </si>
  <si>
    <t>extract refugee-only data</t>
  </si>
  <si>
    <t>outcome_domain</t>
  </si>
  <si>
    <t>instrument</t>
  </si>
  <si>
    <t>cutoff_value</t>
  </si>
  <si>
    <t>cutoff_definition</t>
  </si>
  <si>
    <t>n_assessed</t>
  </si>
  <si>
    <t>n_above_cutoff</t>
  </si>
  <si>
    <t>prevalence_percent</t>
  </si>
  <si>
    <t>mean_score</t>
  </si>
  <si>
    <t>sd_score</t>
  </si>
  <si>
    <t>response_rate</t>
  </si>
  <si>
    <t>notes_on_measurement</t>
  </si>
  <si>
    <t>anxiety</t>
  </si>
  <si>
    <t>PHQ-4 Anxiety</t>
  </si>
  <si>
    <t>depression</t>
  </si>
  <si>
    <t>PHQ-4 Depression</t>
  </si>
  <si>
    <t>PTSD</t>
  </si>
  <si>
    <t>IES-R</t>
  </si>
  <si>
    <t>GAD-7</t>
  </si>
  <si>
    <t>PCL-5</t>
  </si>
  <si>
    <t>CRIES-13</t>
  </si>
  <si>
    <t>PHQ-9</t>
  </si>
  <si>
    <t>ITQ</t>
  </si>
  <si>
    <t>EPDS</t>
  </si>
  <si>
    <t>BAI</t>
  </si>
  <si>
    <t>binary symptom category</t>
  </si>
  <si>
    <t>prevalence only; no mean/SD reported</t>
  </si>
  <si>
    <t>moderate_or_above</t>
  </si>
  <si>
    <t>refugee subgroup only; prevalence not reported</t>
  </si>
  <si>
    <t>refugee/displaced - refugee subgroup only</t>
  </si>
  <si>
    <t>entire sample</t>
  </si>
  <si>
    <t>PHQ-8</t>
  </si>
  <si>
    <t>cutoff = PHQ-8 ≥10</t>
  </si>
  <si>
    <t>cutoff = GAD-7 ≥10</t>
  </si>
  <si>
    <t>clinical_diagnosis</t>
  </si>
  <si>
    <t>ICD-11 PTSD; weighted analytic sample</t>
  </si>
  <si>
    <t>ICD-11 CPTSD; weighted analytic sample</t>
  </si>
  <si>
    <t>64% aged 18–30, 36% aged 31–40</t>
  </si>
  <si>
    <t>EPDS ≥13 postpartum depression</t>
  </si>
  <si>
    <t>continuous</t>
  </si>
  <si>
    <t>Ukrainian refugees in Poland; continuous PTSD score only</t>
  </si>
  <si>
    <t>PCL-5 continuous score; prevalence not reported</t>
  </si>
  <si>
    <t>Hungary</t>
  </si>
  <si>
    <t>PHQ-9 ≥10</t>
  </si>
  <si>
    <t>BAI ≥16</t>
  </si>
  <si>
    <t>MAP-Z refugees</t>
  </si>
  <si>
    <t>Kovacs_2023_PL</t>
  </si>
  <si>
    <t>Kovacs_2023_HU</t>
  </si>
  <si>
    <t>High</t>
  </si>
  <si>
    <t>Moderate</t>
  </si>
  <si>
    <t>Low</t>
  </si>
  <si>
    <t>above_cutoff</t>
  </si>
  <si>
    <t>convenience</t>
  </si>
  <si>
    <t>online convenience</t>
  </si>
  <si>
    <t>registry-based volunteer panel</t>
  </si>
  <si>
    <t>random sampling</t>
  </si>
  <si>
    <t>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</si>
</sst>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68CA-80C4-4237-887D-BF9A49434036}">
  <dimension ref="A1:T13"/>
  <sheetViews>
    <sheetView tabSelected="1" topLeftCell="B1" workbookViewId="0">
      <selection activeCell="F17" sqref="F17"/>
    </sheetView>
  </sheetViews>
  <sheetFormatPr defaultRowHeight="14.4"/>
  <cols>
    <col min="1" max="1" width="13.21875" customWidth="1"/>
    <col min="5" max="5" width="24.33203125" customWidth="1"/>
    <col min="7" max="7" width="14.109375" customWidth="1"/>
    <col min="8" max="8" width="16.21875" customWidth="1"/>
    <col min="13" max="13" width="16.33203125" customWidth="1"/>
    <col min="16" max="16" width="19.21875" customWidth="1"/>
    <col min="17" max="17" width="23" customWidth="1"/>
    <col min="18" max="18" width="19" customWidth="1"/>
    <col min="19" max="19" width="17.2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2025</v>
      </c>
      <c r="D2" t="s">
        <v>22</v>
      </c>
      <c r="E2" t="s">
        <v>23</v>
      </c>
      <c r="F2" t="s">
        <v>24</v>
      </c>
      <c r="G2" t="s">
        <v>25</v>
      </c>
      <c r="H2" t="s">
        <v>131</v>
      </c>
      <c r="I2">
        <v>15</v>
      </c>
      <c r="J2">
        <v>38.299999999999997</v>
      </c>
      <c r="K2">
        <v>10.3</v>
      </c>
      <c r="L2" s="1">
        <v>1</v>
      </c>
      <c r="M2" t="s">
        <v>26</v>
      </c>
      <c r="N2">
        <v>10.199999999999999</v>
      </c>
      <c r="O2" t="s">
        <v>27</v>
      </c>
      <c r="P2" t="s">
        <v>127</v>
      </c>
      <c r="Q2" t="s">
        <v>129</v>
      </c>
      <c r="R2" t="s">
        <v>128</v>
      </c>
      <c r="S2" t="s">
        <v>127</v>
      </c>
    </row>
    <row r="3" spans="1:20">
      <c r="A3" t="s">
        <v>28</v>
      </c>
      <c r="B3" t="s">
        <v>29</v>
      </c>
      <c r="C3">
        <v>2024</v>
      </c>
      <c r="D3" t="s">
        <v>30</v>
      </c>
      <c r="E3" t="s">
        <v>31</v>
      </c>
      <c r="F3" t="s">
        <v>32</v>
      </c>
      <c r="G3" t="s">
        <v>25</v>
      </c>
      <c r="H3" t="s">
        <v>131</v>
      </c>
      <c r="I3">
        <v>7617</v>
      </c>
      <c r="J3">
        <v>40.4</v>
      </c>
      <c r="K3">
        <v>12.5</v>
      </c>
      <c r="L3">
        <v>90.2</v>
      </c>
      <c r="M3" t="s">
        <v>33</v>
      </c>
      <c r="O3" t="s">
        <v>27</v>
      </c>
      <c r="P3" t="s">
        <v>128</v>
      </c>
      <c r="Q3" t="s">
        <v>129</v>
      </c>
      <c r="R3" t="s">
        <v>129</v>
      </c>
      <c r="S3" t="s">
        <v>128</v>
      </c>
    </row>
    <row r="4" spans="1:20">
      <c r="A4" t="s">
        <v>34</v>
      </c>
      <c r="B4" t="s">
        <v>35</v>
      </c>
      <c r="C4">
        <v>2024</v>
      </c>
      <c r="D4" t="s">
        <v>36</v>
      </c>
      <c r="E4" t="s">
        <v>37</v>
      </c>
      <c r="F4" t="s">
        <v>38</v>
      </c>
      <c r="G4" t="s">
        <v>25</v>
      </c>
      <c r="H4" t="s">
        <v>132</v>
      </c>
      <c r="I4">
        <v>5073</v>
      </c>
      <c r="L4">
        <v>93</v>
      </c>
      <c r="M4" t="s">
        <v>33</v>
      </c>
      <c r="O4" t="s">
        <v>108</v>
      </c>
      <c r="P4" t="s">
        <v>127</v>
      </c>
      <c r="Q4" t="s">
        <v>129</v>
      </c>
      <c r="R4" t="s">
        <v>128</v>
      </c>
      <c r="S4" t="s">
        <v>127</v>
      </c>
    </row>
    <row r="5" spans="1:20">
      <c r="A5" t="s">
        <v>39</v>
      </c>
      <c r="B5" t="s">
        <v>40</v>
      </c>
      <c r="C5">
        <v>2023</v>
      </c>
      <c r="D5" t="s">
        <v>41</v>
      </c>
      <c r="E5" t="s">
        <v>42</v>
      </c>
      <c r="F5" t="s">
        <v>24</v>
      </c>
      <c r="G5" t="s">
        <v>25</v>
      </c>
      <c r="H5" t="s">
        <v>131</v>
      </c>
      <c r="I5">
        <v>304</v>
      </c>
      <c r="J5">
        <v>39</v>
      </c>
      <c r="K5">
        <v>11.84</v>
      </c>
      <c r="L5">
        <v>77.3</v>
      </c>
      <c r="M5" t="s">
        <v>33</v>
      </c>
      <c r="O5" t="s">
        <v>27</v>
      </c>
      <c r="P5" t="s">
        <v>128</v>
      </c>
      <c r="Q5" t="s">
        <v>129</v>
      </c>
      <c r="R5" t="s">
        <v>129</v>
      </c>
      <c r="S5" t="s">
        <v>128</v>
      </c>
    </row>
    <row r="6" spans="1:20">
      <c r="A6" t="s">
        <v>43</v>
      </c>
      <c r="B6" t="s">
        <v>44</v>
      </c>
      <c r="C6">
        <v>2023</v>
      </c>
      <c r="D6" t="s">
        <v>45</v>
      </c>
      <c r="E6" t="s">
        <v>46</v>
      </c>
      <c r="F6" t="s">
        <v>24</v>
      </c>
      <c r="G6" t="s">
        <v>25</v>
      </c>
      <c r="H6" t="s">
        <v>47</v>
      </c>
      <c r="I6">
        <v>42</v>
      </c>
      <c r="J6">
        <v>16.399999999999999</v>
      </c>
      <c r="K6">
        <v>0.73</v>
      </c>
      <c r="L6">
        <v>47.6</v>
      </c>
      <c r="M6" t="s">
        <v>48</v>
      </c>
      <c r="O6" t="s">
        <v>27</v>
      </c>
      <c r="P6" t="s">
        <v>128</v>
      </c>
      <c r="Q6" t="s">
        <v>129</v>
      </c>
      <c r="R6" t="s">
        <v>129</v>
      </c>
      <c r="S6" t="s">
        <v>128</v>
      </c>
    </row>
    <row r="7" spans="1:20">
      <c r="A7" t="s">
        <v>49</v>
      </c>
      <c r="B7" t="s">
        <v>50</v>
      </c>
      <c r="C7">
        <v>2023</v>
      </c>
      <c r="D7" t="s">
        <v>51</v>
      </c>
      <c r="E7" t="s">
        <v>52</v>
      </c>
      <c r="F7" t="s">
        <v>53</v>
      </c>
      <c r="G7" t="s">
        <v>25</v>
      </c>
      <c r="H7" s="3" t="s">
        <v>133</v>
      </c>
      <c r="I7">
        <v>1347</v>
      </c>
      <c r="L7">
        <v>74.3</v>
      </c>
      <c r="M7" t="s">
        <v>33</v>
      </c>
      <c r="O7" t="s">
        <v>27</v>
      </c>
      <c r="P7" t="s">
        <v>128</v>
      </c>
      <c r="Q7" t="s">
        <v>129</v>
      </c>
      <c r="R7" t="s">
        <v>129</v>
      </c>
      <c r="S7" t="s">
        <v>128</v>
      </c>
    </row>
    <row r="8" spans="1:20">
      <c r="A8" t="s">
        <v>54</v>
      </c>
      <c r="B8" t="s">
        <v>55</v>
      </c>
      <c r="C8">
        <v>2025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>
        <v>2874</v>
      </c>
      <c r="L8">
        <v>78.8</v>
      </c>
      <c r="M8" t="s">
        <v>33</v>
      </c>
      <c r="O8" t="s">
        <v>27</v>
      </c>
      <c r="P8" t="s">
        <v>129</v>
      </c>
      <c r="Q8" t="s">
        <v>129</v>
      </c>
      <c r="R8" t="s">
        <v>129</v>
      </c>
      <c r="S8" t="s">
        <v>129</v>
      </c>
    </row>
    <row r="9" spans="1:20">
      <c r="A9" t="s">
        <v>61</v>
      </c>
      <c r="B9" t="s">
        <v>62</v>
      </c>
      <c r="C9">
        <v>2024</v>
      </c>
      <c r="D9" t="s">
        <v>63</v>
      </c>
      <c r="E9" t="s">
        <v>64</v>
      </c>
      <c r="F9" t="s">
        <v>135</v>
      </c>
      <c r="G9" t="s">
        <v>25</v>
      </c>
      <c r="H9" t="s">
        <v>65</v>
      </c>
      <c r="I9">
        <v>50</v>
      </c>
      <c r="J9" t="s">
        <v>116</v>
      </c>
      <c r="L9">
        <v>100</v>
      </c>
      <c r="M9" t="s">
        <v>66</v>
      </c>
      <c r="O9" t="s">
        <v>27</v>
      </c>
      <c r="P9" t="s">
        <v>128</v>
      </c>
      <c r="Q9" t="s">
        <v>129</v>
      </c>
      <c r="R9" t="s">
        <v>129</v>
      </c>
      <c r="S9" t="s">
        <v>128</v>
      </c>
    </row>
    <row r="10" spans="1:20">
      <c r="A10" t="s">
        <v>125</v>
      </c>
      <c r="B10" t="s">
        <v>67</v>
      </c>
      <c r="C10">
        <v>2023</v>
      </c>
      <c r="D10" t="s">
        <v>68</v>
      </c>
      <c r="E10" t="s">
        <v>69</v>
      </c>
      <c r="F10" t="s">
        <v>32</v>
      </c>
      <c r="G10" t="s">
        <v>25</v>
      </c>
      <c r="H10" t="s">
        <v>132</v>
      </c>
      <c r="I10">
        <v>400</v>
      </c>
      <c r="L10">
        <v>90</v>
      </c>
      <c r="M10" t="s">
        <v>33</v>
      </c>
      <c r="O10" t="s">
        <v>27</v>
      </c>
      <c r="P10" t="s">
        <v>127</v>
      </c>
      <c r="Q10" t="s">
        <v>129</v>
      </c>
      <c r="R10" t="s">
        <v>129</v>
      </c>
      <c r="S10" t="s">
        <v>127</v>
      </c>
    </row>
    <row r="11" spans="1:20">
      <c r="A11" t="s">
        <v>126</v>
      </c>
      <c r="B11" t="s">
        <v>67</v>
      </c>
      <c r="C11">
        <v>2023</v>
      </c>
      <c r="D11" t="s">
        <v>68</v>
      </c>
      <c r="E11" t="s">
        <v>69</v>
      </c>
      <c r="F11" t="s">
        <v>121</v>
      </c>
      <c r="G11" t="s">
        <v>25</v>
      </c>
      <c r="H11" t="s">
        <v>132</v>
      </c>
      <c r="I11">
        <v>328</v>
      </c>
      <c r="L11">
        <v>71</v>
      </c>
      <c r="P11" t="s">
        <v>127</v>
      </c>
      <c r="Q11" t="s">
        <v>129</v>
      </c>
      <c r="R11" t="s">
        <v>129</v>
      </c>
      <c r="S11" t="s">
        <v>127</v>
      </c>
    </row>
    <row r="12" spans="1:20">
      <c r="A12" t="s">
        <v>70</v>
      </c>
      <c r="B12" t="s">
        <v>71</v>
      </c>
      <c r="C12">
        <v>2024</v>
      </c>
      <c r="D12" t="s">
        <v>72</v>
      </c>
      <c r="E12" t="s">
        <v>46</v>
      </c>
      <c r="F12" t="s">
        <v>53</v>
      </c>
      <c r="G12" t="s">
        <v>25</v>
      </c>
      <c r="H12" t="s">
        <v>132</v>
      </c>
      <c r="I12">
        <v>919</v>
      </c>
      <c r="L12">
        <v>100</v>
      </c>
      <c r="M12" t="s">
        <v>26</v>
      </c>
      <c r="O12" t="s">
        <v>27</v>
      </c>
      <c r="P12" t="s">
        <v>127</v>
      </c>
      <c r="Q12" t="s">
        <v>129</v>
      </c>
      <c r="R12" t="s">
        <v>129</v>
      </c>
      <c r="S12" t="s">
        <v>127</v>
      </c>
    </row>
    <row r="13" spans="1:20">
      <c r="A13" t="s">
        <v>73</v>
      </c>
      <c r="B13" t="s">
        <v>74</v>
      </c>
      <c r="C13">
        <v>2025</v>
      </c>
      <c r="D13" t="s">
        <v>75</v>
      </c>
      <c r="E13" t="s">
        <v>76</v>
      </c>
      <c r="F13" t="s">
        <v>77</v>
      </c>
      <c r="G13" t="s">
        <v>25</v>
      </c>
      <c r="H13" t="s">
        <v>134</v>
      </c>
      <c r="I13">
        <v>646</v>
      </c>
      <c r="L13">
        <v>72.400000000000006</v>
      </c>
      <c r="M13" t="s">
        <v>33</v>
      </c>
      <c r="O13" t="s">
        <v>78</v>
      </c>
      <c r="P13" t="s">
        <v>128</v>
      </c>
      <c r="Q13" t="s">
        <v>129</v>
      </c>
      <c r="R13" t="s">
        <v>129</v>
      </c>
      <c r="S13" t="s">
        <v>128</v>
      </c>
      <c r="T13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9E0F-1A68-4591-8496-EAA02E031468}">
  <dimension ref="A1:L33"/>
  <sheetViews>
    <sheetView zoomScale="80" zoomScaleNormal="80" workbookViewId="0">
      <selection activeCell="U11" sqref="U11"/>
    </sheetView>
  </sheetViews>
  <sheetFormatPr defaultRowHeight="14.4"/>
  <cols>
    <col min="1" max="1" width="16" customWidth="1"/>
    <col min="3" max="3" width="15.33203125" customWidth="1"/>
    <col min="4" max="4" width="12.6640625" customWidth="1"/>
    <col min="5" max="5" width="15.77734375" customWidth="1"/>
    <col min="6" max="6" width="12.88671875" customWidth="1"/>
    <col min="7" max="7" width="13.6640625" customWidth="1"/>
    <col min="8" max="8" width="18.21875" customWidth="1"/>
    <col min="9" max="9" width="13.109375" customWidth="1"/>
    <col min="12" max="12" width="8.88671875" style="2"/>
  </cols>
  <sheetData>
    <row r="1" spans="1:12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s="2" t="s">
        <v>90</v>
      </c>
    </row>
    <row r="2" spans="1:12">
      <c r="A2" t="s">
        <v>20</v>
      </c>
      <c r="B2" t="s">
        <v>91</v>
      </c>
      <c r="C2" t="s">
        <v>92</v>
      </c>
      <c r="D2">
        <v>3</v>
      </c>
      <c r="E2" t="s">
        <v>130</v>
      </c>
      <c r="F2">
        <v>15</v>
      </c>
      <c r="G2">
        <v>7</v>
      </c>
      <c r="H2">
        <f>G2/F2*100</f>
        <v>46.666666666666664</v>
      </c>
    </row>
    <row r="3" spans="1:12">
      <c r="A3" t="s">
        <v>20</v>
      </c>
      <c r="B3" t="s">
        <v>93</v>
      </c>
      <c r="C3" t="s">
        <v>94</v>
      </c>
      <c r="D3">
        <v>3</v>
      </c>
      <c r="E3" t="s">
        <v>130</v>
      </c>
      <c r="F3">
        <v>15</v>
      </c>
      <c r="G3">
        <v>4</v>
      </c>
      <c r="H3">
        <f>G3/F3*100</f>
        <v>26.666666666666668</v>
      </c>
    </row>
    <row r="5" spans="1:12">
      <c r="A5" t="s">
        <v>28</v>
      </c>
      <c r="B5" t="s">
        <v>95</v>
      </c>
      <c r="C5" t="s">
        <v>96</v>
      </c>
      <c r="E5" t="s">
        <v>130</v>
      </c>
      <c r="F5">
        <v>4972</v>
      </c>
      <c r="G5">
        <v>2363</v>
      </c>
      <c r="H5">
        <v>47.5</v>
      </c>
      <c r="L5" s="2" t="s">
        <v>105</v>
      </c>
    </row>
    <row r="7" spans="1:12">
      <c r="A7" t="s">
        <v>34</v>
      </c>
      <c r="B7" t="s">
        <v>91</v>
      </c>
      <c r="C7" t="s">
        <v>97</v>
      </c>
      <c r="E7" t="s">
        <v>118</v>
      </c>
      <c r="F7">
        <v>5073</v>
      </c>
      <c r="I7">
        <v>3.46</v>
      </c>
      <c r="J7">
        <v>1.78</v>
      </c>
      <c r="L7" s="2" t="s">
        <v>107</v>
      </c>
    </row>
    <row r="9" spans="1:12">
      <c r="A9" t="s">
        <v>39</v>
      </c>
      <c r="B9" t="s">
        <v>91</v>
      </c>
      <c r="C9" t="s">
        <v>92</v>
      </c>
      <c r="D9">
        <v>3</v>
      </c>
      <c r="E9" t="s">
        <v>130</v>
      </c>
      <c r="F9">
        <v>304</v>
      </c>
      <c r="G9">
        <v>155</v>
      </c>
      <c r="H9">
        <v>51</v>
      </c>
      <c r="L9" s="2" t="s">
        <v>104</v>
      </c>
    </row>
    <row r="10" spans="1:12">
      <c r="B10" t="s">
        <v>93</v>
      </c>
      <c r="C10" t="s">
        <v>94</v>
      </c>
      <c r="D10">
        <v>3</v>
      </c>
      <c r="E10" t="s">
        <v>130</v>
      </c>
      <c r="F10">
        <v>304</v>
      </c>
      <c r="G10">
        <v>136</v>
      </c>
      <c r="H10">
        <v>44.7</v>
      </c>
      <c r="L10" s="2" t="s">
        <v>104</v>
      </c>
    </row>
    <row r="12" spans="1:12">
      <c r="A12" t="s">
        <v>43</v>
      </c>
      <c r="B12" t="s">
        <v>95</v>
      </c>
      <c r="C12" t="s">
        <v>99</v>
      </c>
      <c r="D12">
        <v>3</v>
      </c>
      <c r="E12" t="s">
        <v>130</v>
      </c>
      <c r="F12">
        <v>42</v>
      </c>
      <c r="G12">
        <v>19</v>
      </c>
      <c r="H12">
        <v>45.2</v>
      </c>
      <c r="L12" s="2" t="s">
        <v>109</v>
      </c>
    </row>
    <row r="13" spans="1:12">
      <c r="B13" t="s">
        <v>91</v>
      </c>
      <c r="C13" t="s">
        <v>97</v>
      </c>
      <c r="D13">
        <v>10</v>
      </c>
      <c r="E13" t="s">
        <v>106</v>
      </c>
      <c r="F13">
        <v>42</v>
      </c>
      <c r="G13">
        <v>14</v>
      </c>
      <c r="H13">
        <v>33.299999999999997</v>
      </c>
      <c r="L13" s="2" t="s">
        <v>109</v>
      </c>
    </row>
    <row r="14" spans="1:12">
      <c r="B14" t="s">
        <v>93</v>
      </c>
      <c r="C14" t="s">
        <v>100</v>
      </c>
      <c r="D14">
        <v>10</v>
      </c>
      <c r="E14" t="s">
        <v>106</v>
      </c>
      <c r="F14">
        <v>42</v>
      </c>
      <c r="G14">
        <v>10</v>
      </c>
      <c r="H14">
        <v>23.8</v>
      </c>
      <c r="L14" s="2" t="s">
        <v>109</v>
      </c>
    </row>
    <row r="16" spans="1:12">
      <c r="A16" t="s">
        <v>49</v>
      </c>
      <c r="B16" t="s">
        <v>91</v>
      </c>
      <c r="C16" t="s">
        <v>97</v>
      </c>
      <c r="D16">
        <v>10</v>
      </c>
      <c r="E16" t="s">
        <v>106</v>
      </c>
      <c r="F16">
        <v>1223</v>
      </c>
      <c r="G16">
        <v>282</v>
      </c>
      <c r="H16">
        <v>23.1</v>
      </c>
      <c r="L16" s="2" t="s">
        <v>112</v>
      </c>
    </row>
    <row r="17" spans="1:12">
      <c r="B17" t="s">
        <v>93</v>
      </c>
      <c r="C17" t="s">
        <v>110</v>
      </c>
      <c r="D17">
        <v>10</v>
      </c>
      <c r="E17" t="s">
        <v>106</v>
      </c>
      <c r="F17">
        <v>1256</v>
      </c>
      <c r="G17">
        <v>521</v>
      </c>
      <c r="H17">
        <v>41.5</v>
      </c>
      <c r="L17" s="2" t="s">
        <v>111</v>
      </c>
    </row>
    <row r="19" spans="1:12">
      <c r="A19" t="s">
        <v>54</v>
      </c>
      <c r="B19" t="s">
        <v>95</v>
      </c>
      <c r="C19" t="s">
        <v>101</v>
      </c>
      <c r="E19" t="s">
        <v>113</v>
      </c>
      <c r="F19">
        <v>2874</v>
      </c>
      <c r="G19">
        <v>348</v>
      </c>
      <c r="H19">
        <v>12.1</v>
      </c>
      <c r="L19" s="2" t="s">
        <v>114</v>
      </c>
    </row>
    <row r="20" spans="1:12">
      <c r="C20" t="s">
        <v>101</v>
      </c>
      <c r="E20" t="s">
        <v>113</v>
      </c>
      <c r="F20">
        <v>2874</v>
      </c>
      <c r="G20">
        <v>351</v>
      </c>
      <c r="H20">
        <v>12.2</v>
      </c>
      <c r="L20" s="2" t="s">
        <v>115</v>
      </c>
    </row>
    <row r="22" spans="1:12">
      <c r="A22" t="s">
        <v>61</v>
      </c>
      <c r="B22" t="s">
        <v>93</v>
      </c>
      <c r="C22" t="s">
        <v>102</v>
      </c>
      <c r="D22">
        <v>13</v>
      </c>
      <c r="E22" t="s">
        <v>130</v>
      </c>
      <c r="F22">
        <v>50</v>
      </c>
      <c r="G22">
        <v>21</v>
      </c>
      <c r="H22">
        <v>42</v>
      </c>
      <c r="L22" s="2" t="s">
        <v>117</v>
      </c>
    </row>
    <row r="24" spans="1:12">
      <c r="A24" t="s">
        <v>125</v>
      </c>
      <c r="B24" t="s">
        <v>95</v>
      </c>
      <c r="C24" t="s">
        <v>98</v>
      </c>
      <c r="E24" t="s">
        <v>118</v>
      </c>
      <c r="F24">
        <v>400</v>
      </c>
      <c r="I24">
        <v>26.355</v>
      </c>
      <c r="J24">
        <v>16.942</v>
      </c>
      <c r="L24" s="2" t="s">
        <v>119</v>
      </c>
    </row>
    <row r="25" spans="1:12">
      <c r="A25" t="s">
        <v>126</v>
      </c>
      <c r="B25" t="s">
        <v>95</v>
      </c>
      <c r="C25" t="s">
        <v>98</v>
      </c>
      <c r="E25" t="s">
        <v>118</v>
      </c>
      <c r="F25">
        <v>328</v>
      </c>
      <c r="I25">
        <v>28.863</v>
      </c>
      <c r="J25">
        <v>15.368</v>
      </c>
      <c r="L25" s="2" t="s">
        <v>120</v>
      </c>
    </row>
    <row r="27" spans="1:12">
      <c r="A27" t="s">
        <v>70</v>
      </c>
      <c r="B27" t="s">
        <v>93</v>
      </c>
      <c r="C27" t="s">
        <v>100</v>
      </c>
      <c r="D27">
        <v>10</v>
      </c>
      <c r="E27" t="s">
        <v>106</v>
      </c>
      <c r="F27">
        <v>919</v>
      </c>
      <c r="G27">
        <v>430</v>
      </c>
      <c r="H27">
        <v>46.8</v>
      </c>
      <c r="L27" s="2" t="s">
        <v>122</v>
      </c>
    </row>
    <row r="28" spans="1:12">
      <c r="B28" t="s">
        <v>91</v>
      </c>
      <c r="C28" t="s">
        <v>103</v>
      </c>
      <c r="D28">
        <v>16</v>
      </c>
      <c r="E28" t="s">
        <v>106</v>
      </c>
      <c r="F28">
        <v>919</v>
      </c>
      <c r="G28">
        <v>538</v>
      </c>
      <c r="H28">
        <v>58.6</v>
      </c>
      <c r="L28" s="2" t="s">
        <v>123</v>
      </c>
    </row>
    <row r="31" spans="1:12">
      <c r="A31" t="s">
        <v>73</v>
      </c>
      <c r="B31" t="s">
        <v>91</v>
      </c>
      <c r="C31" t="s">
        <v>97</v>
      </c>
      <c r="D31">
        <v>10</v>
      </c>
      <c r="E31" t="s">
        <v>106</v>
      </c>
      <c r="F31">
        <v>646</v>
      </c>
      <c r="G31">
        <v>181</v>
      </c>
      <c r="H31">
        <v>28</v>
      </c>
      <c r="L31" s="2" t="s">
        <v>124</v>
      </c>
    </row>
    <row r="32" spans="1:12">
      <c r="A32" t="s">
        <v>73</v>
      </c>
      <c r="B32" t="s">
        <v>93</v>
      </c>
      <c r="C32" t="s">
        <v>100</v>
      </c>
      <c r="D32">
        <v>10</v>
      </c>
      <c r="E32" t="s">
        <v>106</v>
      </c>
      <c r="F32">
        <v>646</v>
      </c>
      <c r="G32">
        <v>233</v>
      </c>
      <c r="H32">
        <v>36</v>
      </c>
      <c r="L32" s="2" t="s">
        <v>124</v>
      </c>
    </row>
    <row r="33" spans="1:12">
      <c r="A33" t="s">
        <v>73</v>
      </c>
      <c r="B33" t="s">
        <v>95</v>
      </c>
      <c r="C33" t="s">
        <v>98</v>
      </c>
      <c r="D33">
        <v>33</v>
      </c>
      <c r="E33" t="s">
        <v>130</v>
      </c>
      <c r="F33">
        <v>646</v>
      </c>
      <c r="G33">
        <v>200</v>
      </c>
      <c r="H33">
        <v>31</v>
      </c>
      <c r="L33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</vt:lpstr>
      <vt:lpstr>Outcome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Adamczyk</dc:creator>
  <cp:lastModifiedBy>Tamara Adamczyk</cp:lastModifiedBy>
  <dcterms:created xsi:type="dcterms:W3CDTF">2026-01-07T17:39:49Z</dcterms:created>
  <dcterms:modified xsi:type="dcterms:W3CDTF">2026-01-09T01:19:33Z</dcterms:modified>
</cp:coreProperties>
</file>